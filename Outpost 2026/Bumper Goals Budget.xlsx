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i Pusuluri\Documents\Outpost 2026\"/>
    </mc:Choice>
  </mc:AlternateContent>
  <xr:revisionPtr revIDLastSave="0" documentId="8_{4A5BEEC0-7734-4034-BD29-728921EE943C}" xr6:coauthVersionLast="47" xr6:coauthVersionMax="47" xr10:uidLastSave="{00000000-0000-0000-0000-000000000000}"/>
  <bookViews>
    <workbookView xWindow="-108" yWindow="-108" windowWidth="23256" windowHeight="12456" xr2:uid="{EC8C9C70-C0CC-4306-9899-945FEE2604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2" i="1" l="1"/>
  <c r="L12" i="1"/>
  <c r="L17" i="1"/>
  <c r="J17" i="1"/>
  <c r="G32" i="1"/>
  <c r="G31" i="1"/>
  <c r="G30" i="1"/>
  <c r="G23" i="1"/>
  <c r="G27" i="1"/>
  <c r="G26" i="1"/>
  <c r="G16" i="1"/>
  <c r="G15" i="1"/>
  <c r="G13" i="1"/>
  <c r="G12" i="1"/>
  <c r="G8" i="1"/>
  <c r="G7" i="1"/>
  <c r="G6" i="1"/>
  <c r="G9" i="1"/>
</calcChain>
</file>

<file path=xl/sharedStrings.xml><?xml version="1.0" encoding="utf-8"?>
<sst xmlns="http://schemas.openxmlformats.org/spreadsheetml/2006/main" count="32" uniqueCount="30">
  <si>
    <t>Budget</t>
  </si>
  <si>
    <t>Pololu</t>
  </si>
  <si>
    <t>Amazon</t>
  </si>
  <si>
    <t>Bumper Car</t>
  </si>
  <si>
    <t>Mechanical</t>
  </si>
  <si>
    <t>Pololu Ball Caster with 3/4″ Plastic Ball</t>
  </si>
  <si>
    <t>Quantity</t>
  </si>
  <si>
    <t>Price</t>
  </si>
  <si>
    <t>Total Price</t>
  </si>
  <si>
    <t>Pololu - 50:1 Micro Metal Gearmotor MP 6V with Extended Motor Shaft</t>
  </si>
  <si>
    <t>Pololu - 2-AA Battery Holder, Enclosed with Switch</t>
  </si>
  <si>
    <t>Wiring</t>
  </si>
  <si>
    <t>Pololu - Baby Orangutan B-328 Robot Controller</t>
  </si>
  <si>
    <t>Pololu USB AVR Programmer v2.1</t>
  </si>
  <si>
    <t>Amazon.com: TATTU 4PCS 7.4V 300mAh 2S 45C LiPo Battery Pack with XT30 Plug for Emax Babyhawk Micro FPV Quad Racing Drone : Toys &amp; Games</t>
  </si>
  <si>
    <t>1 (4 pcs)</t>
  </si>
  <si>
    <t>Amazon.com: hiBCTR 4 Packs NRF24L01+ Wireless Transceiver Module, 2.4GHz SPI RF Transceiver with Onboard Antenna for Microcontroller and ARM SBC Communication Projects : Electronics</t>
  </si>
  <si>
    <t>2 (8 pcs)</t>
  </si>
  <si>
    <t>Controller</t>
  </si>
  <si>
    <t>Amazon.com: Gebildet Robot Dual-axis XY Joystick Module PS2 Game Joystick Control Lever Sensor Game Controller Sensor Board Module KY-023 for Arduino Raspberry(Pack of 8) : Electronics</t>
  </si>
  <si>
    <t>1 (8 pcs)</t>
  </si>
  <si>
    <t>Amazon.com: 20 PCS Slide Switch Micro Switches 1P2T 2 Position, SPDT Mini Toggle Switches Vertical Panel Mount Knob for Breadboard(SS12D00) : Industrial &amp; Scientific</t>
  </si>
  <si>
    <t>1 (20 pcs)</t>
  </si>
  <si>
    <t>Amazon.com: Soldering Iron Kit, 80W 110V Fast Heat up in 10s LCD Digital Adjustable Temperature Soldering Gun Thermostatic Soldering Kit for Electronic : Tools &amp; Home Improvement</t>
  </si>
  <si>
    <t>Pololu - 5V Step-Up Voltage Regulator U3V16F5</t>
  </si>
  <si>
    <t>10% Tax</t>
  </si>
  <si>
    <t>Mech Cost</t>
  </si>
  <si>
    <t>Wire Cost</t>
  </si>
  <si>
    <t>Amazon Cost</t>
  </si>
  <si>
    <t>Pololu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</si>
</sst>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8" fontId="0" fillId="0" borderId="0" xfId="0" applyNumberFormat="1"/>
    <xf numFmtId="8" fontId="0" fillId="2" borderId="0" xfId="0" applyNumberFormat="1" applyFill="1"/>
    <xf numFmtId="8" fontId="0" fillId="3" borderId="0" xfId="0" applyNumberFormat="1" applyFill="1"/>
    <xf numFmtId="8" fontId="0" fillId="4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gp/product/B0DPMN19G6/ref=ox_sc_act_title_3?smid=A86AD06S3OMVQ&amp;psc=1" TargetMode="External"/><Relationship Id="rId3" Type="http://schemas.openxmlformats.org/officeDocument/2006/relationships/hyperlink" Target="https://www.pololu.com/product/1160" TargetMode="External"/><Relationship Id="rId7" Type="http://schemas.openxmlformats.org/officeDocument/2006/relationships/hyperlink" Target="https://www.amazon.com/gp/product/B0DTHP1KVY/ref=ox_sc_act_title_2?smid=ABNC1ZV0O9ATN&amp;psc=1" TargetMode="External"/><Relationship Id="rId2" Type="http://schemas.openxmlformats.org/officeDocument/2006/relationships/hyperlink" Target="https://www.pololu.com/product/2379" TargetMode="External"/><Relationship Id="rId1" Type="http://schemas.openxmlformats.org/officeDocument/2006/relationships/hyperlink" Target="https://www.pololu.com/product/954" TargetMode="External"/><Relationship Id="rId6" Type="http://schemas.openxmlformats.org/officeDocument/2006/relationships/hyperlink" Target="https://www.amazon.com/gp/product/B0719TD5BT/ref=ox_sc_act_title_1?smid=AZOHP9WQKWMGT&amp;psc=1" TargetMode="External"/><Relationship Id="rId11" Type="http://schemas.openxmlformats.org/officeDocument/2006/relationships/hyperlink" Target="https://www.amazon.com/gp/product/B08PZBPXLZ/ref=ox_sc_act_title_4?smid=A2G8P4UBULCEN0&amp;th=1" TargetMode="External"/><Relationship Id="rId5" Type="http://schemas.openxmlformats.org/officeDocument/2006/relationships/hyperlink" Target="https://www.pololu.com/product/3172" TargetMode="External"/><Relationship Id="rId10" Type="http://schemas.openxmlformats.org/officeDocument/2006/relationships/hyperlink" Target="https://www.pololu.com/product/4941" TargetMode="External"/><Relationship Id="rId4" Type="http://schemas.openxmlformats.org/officeDocument/2006/relationships/hyperlink" Target="https://www.pololu.com/product/1220" TargetMode="External"/><Relationship Id="rId9" Type="http://schemas.openxmlformats.org/officeDocument/2006/relationships/hyperlink" Target="https://www.amazon.com/gp/product/B0GSVGVN2N/ref=ox_sc_act_title_5?smid=A27HLOD3PWI9ZZ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275A-FE68-4C76-8A18-39001FA49AB5}">
  <dimension ref="A1:L32"/>
  <sheetViews>
    <sheetView tabSelected="1" zoomScale="84" workbookViewId="0">
      <selection activeCell="R16" sqref="R16"/>
    </sheetView>
  </sheetViews>
  <sheetFormatPr defaultRowHeight="14.4" x14ac:dyDescent="0.3"/>
  <cols>
    <col min="1" max="1" width="10.5546875" bestFit="1" customWidth="1"/>
    <col min="2" max="2" width="7.109375" customWidth="1"/>
    <col min="3" max="3" width="8" customWidth="1"/>
    <col min="10" max="10" width="11.44140625" bestFit="1" customWidth="1"/>
    <col min="12" max="12" width="10" bestFit="1" customWidth="1"/>
  </cols>
  <sheetData>
    <row r="1" spans="1:12" x14ac:dyDescent="0.3">
      <c r="A1" t="s">
        <v>0</v>
      </c>
      <c r="B1" t="s">
        <v>1</v>
      </c>
      <c r="C1" t="s">
        <v>2</v>
      </c>
      <c r="E1" t="s">
        <v>6</v>
      </c>
      <c r="F1" t="s">
        <v>7</v>
      </c>
      <c r="G1" t="s">
        <v>8</v>
      </c>
    </row>
    <row r="3" spans="1:12" x14ac:dyDescent="0.3">
      <c r="A3" t="s">
        <v>3</v>
      </c>
    </row>
    <row r="4" spans="1:12" x14ac:dyDescent="0.3">
      <c r="A4" t="s">
        <v>4</v>
      </c>
    </row>
    <row r="6" spans="1:12" x14ac:dyDescent="0.3">
      <c r="B6" s="1" t="s">
        <v>5</v>
      </c>
      <c r="E6">
        <v>4</v>
      </c>
      <c r="F6" s="2">
        <v>5.49</v>
      </c>
      <c r="G6" s="2">
        <f>E6*F6</f>
        <v>21.96</v>
      </c>
    </row>
    <row r="7" spans="1:12" x14ac:dyDescent="0.3">
      <c r="B7" s="1" t="s">
        <v>9</v>
      </c>
      <c r="E7">
        <v>8</v>
      </c>
      <c r="F7" s="2">
        <v>22.95</v>
      </c>
      <c r="G7" s="2">
        <f>E7*F7</f>
        <v>183.6</v>
      </c>
    </row>
    <row r="8" spans="1:12" x14ac:dyDescent="0.3">
      <c r="B8" s="1" t="s">
        <v>10</v>
      </c>
      <c r="E8">
        <v>4</v>
      </c>
      <c r="F8" s="2">
        <v>2.84</v>
      </c>
      <c r="G8" s="2">
        <f>E8*F8</f>
        <v>11.36</v>
      </c>
    </row>
    <row r="9" spans="1:12" x14ac:dyDescent="0.3">
      <c r="G9" s="3">
        <f>G6+G7+G8</f>
        <v>216.92000000000002</v>
      </c>
    </row>
    <row r="10" spans="1:12" x14ac:dyDescent="0.3">
      <c r="A10" t="s">
        <v>11</v>
      </c>
    </row>
    <row r="11" spans="1:12" x14ac:dyDescent="0.3">
      <c r="J11" t="s">
        <v>28</v>
      </c>
      <c r="L11" t="s">
        <v>29</v>
      </c>
    </row>
    <row r="12" spans="1:12" x14ac:dyDescent="0.3">
      <c r="B12" s="1" t="s">
        <v>12</v>
      </c>
      <c r="E12">
        <v>8</v>
      </c>
      <c r="F12" s="2">
        <v>22.95</v>
      </c>
      <c r="G12" s="2">
        <f>E12*F12</f>
        <v>183.6</v>
      </c>
      <c r="J12" s="2">
        <f>G14+G15+G23</f>
        <v>72.39</v>
      </c>
      <c r="L12" s="2">
        <f>G9+G12+G13+G27</f>
        <v>446.27</v>
      </c>
    </row>
    <row r="13" spans="1:12" x14ac:dyDescent="0.3">
      <c r="B13" s="1" t="s">
        <v>13</v>
      </c>
      <c r="E13">
        <v>1</v>
      </c>
      <c r="F13" s="2">
        <v>17.95</v>
      </c>
      <c r="G13" s="2">
        <f>E13*F13</f>
        <v>17.95</v>
      </c>
    </row>
    <row r="14" spans="1:12" x14ac:dyDescent="0.3">
      <c r="B14" s="1"/>
      <c r="C14" s="1" t="s">
        <v>14</v>
      </c>
      <c r="E14" t="s">
        <v>15</v>
      </c>
      <c r="F14" s="2">
        <v>29.99</v>
      </c>
      <c r="G14" s="2">
        <v>29.99</v>
      </c>
    </row>
    <row r="15" spans="1:12" x14ac:dyDescent="0.3">
      <c r="B15" s="1"/>
      <c r="C15" s="1" t="s">
        <v>16</v>
      </c>
      <c r="E15" t="s">
        <v>17</v>
      </c>
      <c r="F15" s="2">
        <v>7.87</v>
      </c>
      <c r="G15" s="2">
        <f>F15*2</f>
        <v>15.74</v>
      </c>
    </row>
    <row r="16" spans="1:12" x14ac:dyDescent="0.3">
      <c r="G16" s="3">
        <f>G12+G13+G14+G15</f>
        <v>247.28</v>
      </c>
      <c r="J16" t="s">
        <v>26</v>
      </c>
      <c r="L16" t="s">
        <v>27</v>
      </c>
    </row>
    <row r="17" spans="1:12" x14ac:dyDescent="0.3">
      <c r="A17" t="s">
        <v>18</v>
      </c>
      <c r="J17" s="2">
        <f>G9+G23</f>
        <v>243.58</v>
      </c>
      <c r="L17" s="2">
        <f>G16+G27</f>
        <v>275.08</v>
      </c>
    </row>
    <row r="18" spans="1:12" x14ac:dyDescent="0.3">
      <c r="A18" t="s">
        <v>4</v>
      </c>
    </row>
    <row r="20" spans="1:12" x14ac:dyDescent="0.3">
      <c r="B20" s="1"/>
      <c r="C20" s="1" t="s">
        <v>19</v>
      </c>
      <c r="E20" t="s">
        <v>20</v>
      </c>
      <c r="F20" s="2">
        <v>9.99</v>
      </c>
      <c r="G20" s="2">
        <v>9.99</v>
      </c>
    </row>
    <row r="21" spans="1:12" x14ac:dyDescent="0.3">
      <c r="C21" s="1" t="s">
        <v>21</v>
      </c>
      <c r="E21" t="s">
        <v>22</v>
      </c>
      <c r="F21" s="2">
        <v>4.99</v>
      </c>
      <c r="G21" s="2">
        <v>4.99</v>
      </c>
    </row>
    <row r="22" spans="1:12" x14ac:dyDescent="0.3">
      <c r="C22" s="1" t="s">
        <v>23</v>
      </c>
      <c r="E22">
        <v>1</v>
      </c>
      <c r="F22" s="2">
        <v>11.68</v>
      </c>
      <c r="G22" s="2">
        <v>11.68</v>
      </c>
    </row>
    <row r="23" spans="1:12" x14ac:dyDescent="0.3">
      <c r="G23" s="3">
        <f>G20+G21+G22</f>
        <v>26.66</v>
      </c>
    </row>
    <row r="24" spans="1:12" x14ac:dyDescent="0.3">
      <c r="A24" t="s">
        <v>11</v>
      </c>
    </row>
    <row r="25" spans="1:12" x14ac:dyDescent="0.3">
      <c r="C25" s="1"/>
      <c r="F25" s="2"/>
      <c r="G25" s="2"/>
    </row>
    <row r="26" spans="1:12" x14ac:dyDescent="0.3">
      <c r="B26" s="1" t="s">
        <v>24</v>
      </c>
      <c r="E26">
        <v>4</v>
      </c>
      <c r="F26" s="2">
        <v>6.95</v>
      </c>
      <c r="G26" s="2">
        <f>E26*F26</f>
        <v>27.8</v>
      </c>
    </row>
    <row r="27" spans="1:12" x14ac:dyDescent="0.3">
      <c r="G27" s="3">
        <f>G25+G26</f>
        <v>27.8</v>
      </c>
    </row>
    <row r="30" spans="1:12" x14ac:dyDescent="0.3">
      <c r="G30" s="4">
        <f>G9+G16+G23+G27</f>
        <v>518.66000000000008</v>
      </c>
    </row>
    <row r="31" spans="1:12" x14ac:dyDescent="0.3">
      <c r="F31" t="s">
        <v>25</v>
      </c>
      <c r="G31" s="2">
        <f>G30*0.1</f>
        <v>51.866000000000014</v>
      </c>
    </row>
    <row r="32" spans="1:12" x14ac:dyDescent="0.3">
      <c r="G32" s="5">
        <f>G30*1.1</f>
        <v>570.52600000000018</v>
      </c>
    </row>
  </sheetData>
  <hyperlinks>
    <hyperlink ref="B6" r:id="rId1" display="https://www.pololu.com/product/954" xr:uid="{236BF7FD-ECDA-477E-9CC7-BE3EA241A64B}"/>
    <hyperlink ref="B7" r:id="rId2" display="https://www.pololu.com/product/2379" xr:uid="{A4414F15-3DAF-4DE5-9493-94A9D165E329}"/>
    <hyperlink ref="B8" r:id="rId3" display="https://www.pololu.com/product/1160" xr:uid="{9A849588-76FB-41B0-941E-9A1CA839AF50}"/>
    <hyperlink ref="B12" r:id="rId4" display="https://www.pololu.com/product/1220" xr:uid="{78E9DE34-C825-4F86-B95E-4C4DD93CEA78}"/>
    <hyperlink ref="B13" r:id="rId5" display="https://www.pololu.com/product/3172" xr:uid="{978F5D52-D4C5-458F-A277-28E3F65727A5}"/>
    <hyperlink ref="C14" r:id="rId6" display="https://www.amazon.com/gp/product/B0719TD5BT/ref=ox_sc_act_title_1?smid=AZOHP9WQKWMGT&amp;psc=1" xr:uid="{5EF51FF5-AF70-4362-A70F-FB375DA23C9A}"/>
    <hyperlink ref="C15" r:id="rId7" display="https://www.amazon.com/gp/product/B0DTHP1KVY/ref=ox_sc_act_title_2?smid=ABNC1ZV0O9ATN&amp;psc=1" xr:uid="{1159E6C9-77E8-4156-9002-5A007AF7171F}"/>
    <hyperlink ref="C20" r:id="rId8" display="https://www.amazon.com/gp/product/B0DPMN19G6/ref=ox_sc_act_title_3?smid=A86AD06S3OMVQ&amp;psc=1" xr:uid="{71C52939-DA0F-46AC-86D6-8AEFB02C5A96}"/>
    <hyperlink ref="C21" r:id="rId9" display="https://www.amazon.com/gp/product/B0GSVGVN2N/ref=ox_sc_act_title_5?smid=A27HLOD3PWI9ZZ&amp;psc=1" xr:uid="{CAA58FA1-FC2E-416B-8DA6-25745F501DBE}"/>
    <hyperlink ref="B26" r:id="rId10" display="https://www.pololu.com/product/4941" xr:uid="{DAA98EEC-085E-421A-A7C9-ACB433D54A72}"/>
    <hyperlink ref="C22" r:id="rId11" display="https://www.amazon.com/gp/product/B08PZBPXLZ/ref=ox_sc_act_title_4?smid=A2G8P4UBULCEN0&amp;th=1" xr:uid="{BC7DCA35-260F-4904-BF38-F7CDDB1BB3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Nidheesh Pusuluri</dc:creator>
  <cp:lastModifiedBy>Nidheesh Pusuluri</cp:lastModifiedBy>
  <dcterms:created xsi:type="dcterms:W3CDTF">2026-07-07T05:01:11Z</dcterms:created>
  <dcterms:modified xsi:type="dcterms:W3CDTF">2026-07-07T05:47:05Z</dcterms:modified>
</cp:coreProperties>
</file>